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re" sheetId="1" state="visible" r:id="rId3"/>
    <sheet name="ESP32 Build" sheetId="2" state="visible" r:id="rId4"/>
    <sheet name="Prop-Maker Buil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<sst xmlns="http://schemas.openxmlformats.org/spreadsheetml/2006/main" count="166" uniqueCount="80">
  <si>
    <t xml:space="preserve">Build Comparison</t>
  </si>
  <si>
    <t xml:space="preserve">Build</t>
  </si>
  <si>
    <t xml:space="preserve">Core low</t>
  </si>
  <si>
    <t xml:space="preserve">Core high</t>
  </si>
  <si>
    <t xml:space="preserve">All-in low</t>
  </si>
  <si>
    <t xml:space="preserve">All-in high</t>
  </si>
  <si>
    <t xml:space="preserve">Selected (high)</t>
  </si>
  <si>
    <t xml:space="preserve">ESP32 + DFPlayer</t>
  </si>
  <si>
    <t xml:space="preserve">Prop-Maker Feather</t>
  </si>
  <si>
    <t xml:space="preserve">Core for ESP32 excludes the optional amp. Prop-Maker: fewer parts, no soldering, tap-to-trigger; ESP32: cheapest, all on Amazon Prime.</t>
  </si>
  <si>
    <t xml:space="preserve">Thunder Cloud Costume — Parts &amp; Cost Estimate</t>
  </si>
  <si>
    <t xml:space="preserve">Approximate US prices (Oct 2026). Blue = editable estimates; set Include? to Y/N; enter what you actually paid in Actual.</t>
  </si>
  <si>
    <t xml:space="preserve">Part</t>
  </si>
  <si>
    <t xml:space="preserve">Category</t>
  </si>
  <si>
    <t xml:space="preserve">Include? (Y/N)</t>
  </si>
  <si>
    <t xml:space="preserve">Low ($)</t>
  </si>
  <si>
    <t xml:space="preserve">High ($)</t>
  </si>
  <si>
    <t xml:space="preserve">Actual ($)</t>
  </si>
  <si>
    <t xml:space="preserve">Notes</t>
  </si>
  <si>
    <t xml:space="preserve">Amazon</t>
  </si>
  <si>
    <t xml:space="preserve">Alt store</t>
  </si>
  <si>
    <t xml:space="preserve">Alt link</t>
  </si>
  <si>
    <t xml:space="preserve">ESP32 dev board</t>
  </si>
  <si>
    <t xml:space="preserve">Core</t>
  </si>
  <si>
    <t xml:space="preserve">Y</t>
  </si>
  <si>
    <t xml:space="preserve">Single board; 2–3 packs ~$15–20</t>
  </si>
  <si>
    <t xml:space="preserve">Search Amazon</t>
  </si>
  <si>
    <t xml:space="preserve">Micro Center</t>
  </si>
  <si>
    <t xml:space="preserve">Open</t>
  </si>
  <si>
    <t xml:space="preserve">DFPlayer Mini MP3 module</t>
  </si>
  <si>
    <t xml:space="preserve">Multipacks cheaper per unit</t>
  </si>
  <si>
    <t xml:space="preserve">Walmart</t>
  </si>
  <si>
    <t xml:space="preserve">WS2812B LED strip, 1m / 60 LEDs</t>
  </si>
  <si>
    <t xml:space="preserve">Amazon multipacks usually at low end</t>
  </si>
  <si>
    <t xml:space="preserve">CTR Electronics</t>
  </si>
  <si>
    <t xml:space="preserve">Small 3W speaker (or 2-pack)</t>
  </si>
  <si>
    <t xml:space="preserve">microSD card (small)</t>
  </si>
  <si>
    <t xml:space="preserve">Holds thunder MP3s</t>
  </si>
  <si>
    <t xml:space="preserve">Momentary push button</t>
  </si>
  <si>
    <t xml:space="preserve">Assortment pack</t>
  </si>
  <si>
    <t xml:space="preserve">Jumper wires / breadboard kit</t>
  </si>
  <si>
    <t xml:space="preserve">PAM8403 amp board</t>
  </si>
  <si>
    <t xml:space="preserve">Optional amp</t>
  </si>
  <si>
    <t xml:space="preserve">For more boom; multipack</t>
  </si>
  <si>
    <t xml:space="preserve">USB power bank, 10,000mAh</t>
  </si>
  <si>
    <t xml:space="preserve">Power &amp; fiberfill</t>
  </si>
  <si>
    <t xml:space="preserve">N</t>
  </si>
  <si>
    <t xml:space="preserve">Already owned (Anker Zolo) — use normal mode, not trickle; test 30–60 min idle</t>
  </si>
  <si>
    <t xml:space="preserve">Fiberfill (1–2 bags)</t>
  </si>
  <si>
    <t xml:space="preserve">Craft store</t>
  </si>
  <si>
    <t xml:space="preserve">Michaels</t>
  </si>
  <si>
    <t xml:space="preserve">Totals</t>
  </si>
  <si>
    <t xml:space="preserve">Core electronics</t>
  </si>
  <si>
    <t xml:space="preserve">Core + optional amp</t>
  </si>
  <si>
    <t xml:space="preserve">Everything (all categories)</t>
  </si>
  <si>
    <t xml:space="preserve">Selected items (Include? = Y)</t>
  </si>
  <si>
    <t xml:space="preserve">Note: realistic all-in with Amazon multipacks and an existing power bank is about $55–80.</t>
  </si>
  <si>
    <t xml:space="preserve">Sources: Walmart DFPlayer listings (walmart.com/ip/6476318489); CTR Electronics WS2812B 1m ($19.99); Nootropic Design WS2812B 1m ($24.95). Other ranges are typical Amazon US estimates.</t>
  </si>
  <si>
    <t xml:space="preserve">Links: Amazon links are searches (filter by Prime for delivery before Halloween). Micro Center has stores in Fairfax and Richmond; check in-store stock on the site.</t>
  </si>
  <si>
    <t xml:space="preserve">Thunder Cloud Costume — Prop-Maker Feather Build</t>
  </si>
  <si>
    <t xml:space="preserve">Adafruit</t>
  </si>
  <si>
    <t xml:space="preserve">Adafruit RP2040 Prop-Maker Feather (#5768)</t>
  </si>
  <si>
    <t xml:space="preserve">Replaces ESP32, DFPlayer, amp, SD card, breadboard. Built-in tap-detect accelerometer.</t>
  </si>
  <si>
    <t xml:space="preserve">Product page</t>
  </si>
  <si>
    <t xml:space="preserve">WS2812B LED strip, 30–60 LEDs</t>
  </si>
  <si>
    <t xml:space="preserve">Cap brightness ~30–40% in code</t>
  </si>
  <si>
    <t xml:space="preserve">Search</t>
  </si>
  <si>
    <t xml:space="preserve">Speaker, 3W, 4–8Ω</t>
  </si>
  <si>
    <t xml:space="preserve">Wires to screw terminals</t>
  </si>
  <si>
    <t xml:space="preserve">Momentary button on leads</t>
  </si>
  <si>
    <t xml:space="preserve">Optional if using tap-to-trigger</t>
  </si>
  <si>
    <t xml:space="preserve">Stranded hookup wire, 22 AWG</t>
  </si>
  <si>
    <t xml:space="preserve">Board box to LEDs/speaker</t>
  </si>
  <si>
    <t xml:space="preserve">USB-C cable (data-capable)</t>
  </si>
  <si>
    <t xml:space="preserve">Already owned — confirm it's data-capable</t>
  </si>
  <si>
    <t xml:space="preserve">USB-C power bank, 10,000mAh</t>
  </si>
  <si>
    <t xml:space="preserve">Plus Adafruit shipping if ordering from them.</t>
  </si>
  <si>
    <t xml:space="preserve">Not needed vs. ESP32 build: DFPlayer, microSD card, PAM8403 amp, breadboard kit — onboard 8MB flash holds the thunder WAVs (keep to ~1.5–2 min total: mono, 22kHz).</t>
  </si>
  <si>
    <t xml:space="preserve">Use the power bank rather than a LiPo cell; small screwdriver needed for screw terminals.</t>
  </si>
  <si>
    <t xml:space="preserve">Source: Adafruit product page #5768 ($19.95, checked Oct 13, 2026). Other ranges are typical Amazon US estimates; Amazon/Adafruit links are searches.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</si>
</sst>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\$#,##0;&quot;($&quot;#,##0\);\-"/>
    <numFmt numFmtId="167" formatCode="\$#,##0.00;&quot;($&quot;#,##0.00\);\-"/>
    <numFmt numFmtId="168" formatCode="\$#,##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8000"/>
      <name val="Arial"/>
      <family val="0"/>
      <charset val="1"/>
    </font>
    <font>
      <sz val="9"/>
      <color rgb="FF666666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555555"/>
      <name val="Arial"/>
      <family val="0"/>
      <charset val="1"/>
    </font>
    <font>
      <u val="single"/>
      <sz val="11"/>
      <color rgb="FF0563C1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rgb="FFE8F0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8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E8F0FA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amazon.com/s?k=ESP32+WROOM-32+dev+board+USB-C" TargetMode="External"/><Relationship Id="rId2" Type="http://schemas.openxmlformats.org/officeDocument/2006/relationships/hyperlink" Target="https://www.microcenter.com/search/search_results.aspx?Ntt=ESP32" TargetMode="External"/><Relationship Id="rId3" Type="http://schemas.openxmlformats.org/officeDocument/2006/relationships/hyperlink" Target="https://www.amazon.com/s?k=DFPlayer+Mini+MP3+module" TargetMode="External"/><Relationship Id="rId4" Type="http://schemas.openxmlformats.org/officeDocument/2006/relationships/hyperlink" Target="https://www.walmart.com/ip/6476318489" TargetMode="External"/><Relationship Id="rId5" Type="http://schemas.openxmlformats.org/officeDocument/2006/relationships/hyperlink" Target="https://www.amazon.com/s?k=WS2812B+LED+strip+1m+60+LED+5V" TargetMode="External"/><Relationship Id="rId6" Type="http://schemas.openxmlformats.org/officeDocument/2006/relationships/hyperlink" Target="https://store.ctr-electronics.com/1m-3-3ft-addressable-led-reel" TargetMode="External"/><Relationship Id="rId7" Type="http://schemas.openxmlformats.org/officeDocument/2006/relationships/hyperlink" Target="https://www.amazon.com/s?k=3W+8+ohm+mini+speaker+Arduino" TargetMode="External"/><Relationship Id="rId8" Type="http://schemas.openxmlformats.org/officeDocument/2006/relationships/hyperlink" Target="https://www.microcenter.com/search/search_results.aspx?Ntt=3W+speaker" TargetMode="External"/><Relationship Id="rId9" Type="http://schemas.openxmlformats.org/officeDocument/2006/relationships/hyperlink" Target="https://www.amazon.com/s?k=microSD+card+16GB" TargetMode="External"/><Relationship Id="rId10" Type="http://schemas.openxmlformats.org/officeDocument/2006/relationships/hyperlink" Target="https://www.microcenter.com/search/search_results.aspx?Ntt=microSD+card" TargetMode="External"/><Relationship Id="rId11" Type="http://schemas.openxmlformats.org/officeDocument/2006/relationships/hyperlink" Target="https://www.amazon.com/s?k=momentary+push+button+switch+assortment" TargetMode="External"/><Relationship Id="rId12" Type="http://schemas.openxmlformats.org/officeDocument/2006/relationships/hyperlink" Target="https://www.microcenter.com/search/search_results.aspx?Ntt=push+button+switch" TargetMode="External"/><Relationship Id="rId13" Type="http://schemas.openxmlformats.org/officeDocument/2006/relationships/hyperlink" Target="https://www.amazon.com/s?k=jumper+wires+breadboard+kit" TargetMode="External"/><Relationship Id="rId14" Type="http://schemas.openxmlformats.org/officeDocument/2006/relationships/hyperlink" Target="https://www.microcenter.com/search/search_results.aspx?Ntt=jumper+wire+kit" TargetMode="External"/><Relationship Id="rId15" Type="http://schemas.openxmlformats.org/officeDocument/2006/relationships/hyperlink" Target="https://www.amazon.com/s?k=PAM8403+amplifier+board" TargetMode="External"/><Relationship Id="rId16" Type="http://schemas.openxmlformats.org/officeDocument/2006/relationships/hyperlink" Target="https://www.microcenter.com/search/search_results.aspx?Ntt=PAM8403" TargetMode="External"/><Relationship Id="rId17" Type="http://schemas.openxmlformats.org/officeDocument/2006/relationships/hyperlink" Target="https://www.amazon.com/s?k=10000mAh+power+bank+always+on+low+current+mode" TargetMode="External"/><Relationship Id="rId18" Type="http://schemas.openxmlformats.org/officeDocument/2006/relationships/hyperlink" Target="https://www.microcenter.com/search/search_results.aspx?Ntt=power+bank+10000mAh" TargetMode="External"/><Relationship Id="rId19" Type="http://schemas.openxmlformats.org/officeDocument/2006/relationships/hyperlink" Target="https://www.amazon.com/s?k=polyester+fiberfill+stuffing" TargetMode="External"/><Relationship Id="rId20" Type="http://schemas.openxmlformats.org/officeDocument/2006/relationships/hyperlink" Target="https://www.michaels.com/search?q=polyfil+fiber+fill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adafruit.com/product/5768" TargetMode="External"/><Relationship Id="rId2" Type="http://schemas.openxmlformats.org/officeDocument/2006/relationships/hyperlink" Target="https://www.amazon.com/s?k=WS2812B+LED+strip+1m+60+LED+5V" TargetMode="External"/><Relationship Id="rId3" Type="http://schemas.openxmlformats.org/officeDocument/2006/relationships/hyperlink" Target="https://www.adafruit.com/search?q=NeoPixel+strip" TargetMode="External"/><Relationship Id="rId4" Type="http://schemas.openxmlformats.org/officeDocument/2006/relationships/hyperlink" Target="https://www.amazon.com/s?k=3W+4+ohm+mini+speaker" TargetMode="External"/><Relationship Id="rId5" Type="http://schemas.openxmlformats.org/officeDocument/2006/relationships/hyperlink" Target="https://www.adafruit.com/search?q=3W+speaker" TargetMode="External"/><Relationship Id="rId6" Type="http://schemas.openxmlformats.org/officeDocument/2006/relationships/hyperlink" Target="https://www.amazon.com/s?k=momentary+push+button+with+wire+leads" TargetMode="External"/><Relationship Id="rId7" Type="http://schemas.openxmlformats.org/officeDocument/2006/relationships/hyperlink" Target="https://www.adafruit.com/search?q=momentary+button" TargetMode="External"/><Relationship Id="rId8" Type="http://schemas.openxmlformats.org/officeDocument/2006/relationships/hyperlink" Target="https://www.amazon.com/s?k=22+AWG+stranded+hookup+wire+kit" TargetMode="External"/><Relationship Id="rId9" Type="http://schemas.openxmlformats.org/officeDocument/2006/relationships/hyperlink" Target="https://www.adafruit.com/search?q=silicone+stranded+wire+22AWG" TargetMode="External"/><Relationship Id="rId10" Type="http://schemas.openxmlformats.org/officeDocument/2006/relationships/hyperlink" Target="https://www.amazon.com/s?k=USB-C+data+cable+short" TargetMode="External"/><Relationship Id="rId11" Type="http://schemas.openxmlformats.org/officeDocument/2006/relationships/hyperlink" Target="https://www.adafruit.com/search?q=USB+C+cable" TargetMode="External"/><Relationship Id="rId12" Type="http://schemas.openxmlformats.org/officeDocument/2006/relationships/hyperlink" Target="https://www.amazon.com/s?k=10000mAh+power+bank+always+on+low+current+mode" TargetMode="External"/><Relationship Id="rId13" Type="http://schemas.openxmlformats.org/officeDocument/2006/relationships/hyperlink" Target="https://www.amazon.com/s?k=polyester+fiberfill+stuffing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5" min="2" style="1" width="12"/>
    <col collapsed="false" customWidth="true" hidden="false" outlineLevel="0" max="6" min="6" style="1" width="16"/>
  </cols>
  <sheetData>
    <row r="1" customFormat="false" ht="17.25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customFormat="false" ht="15" hidden="false" customHeight="true" outlineLevel="0" collapsed="false">
      <c r="A4" s="4" t="s">
        <v>7</v>
      </c>
      <c r="B4" s="5" t="n">
        <f aca="false">'ESP32 Build'!D17</f>
        <v>45</v>
      </c>
      <c r="C4" s="5" t="n">
        <f aca="false">'ESP32 Build'!E17</f>
        <v>83</v>
      </c>
      <c r="D4" s="5" t="n">
        <f aca="false">'ESP32 Build'!D19</f>
        <v>73</v>
      </c>
      <c r="E4" s="5" t="n">
        <f aca="false">'ESP32 Build'!E19</f>
        <v>131</v>
      </c>
      <c r="F4" s="5" t="n">
        <f aca="false">'ESP32 Build'!E20</f>
        <v>106</v>
      </c>
    </row>
    <row r="5" customFormat="false" ht="15" hidden="false" customHeight="true" outlineLevel="0" collapsed="false">
      <c r="A5" s="4" t="s">
        <v>8</v>
      </c>
      <c r="B5" s="5" t="n">
        <f aca="false">'Prop-Maker Build'!D15</f>
        <v>43.95</v>
      </c>
      <c r="C5" s="5" t="n">
        <f aca="false">'Prop-Maker Build'!E15</f>
        <v>68.95</v>
      </c>
      <c r="D5" s="5" t="n">
        <f aca="false">'Prop-Maker Build'!D16</f>
        <v>71.95</v>
      </c>
      <c r="E5" s="5" t="n">
        <f aca="false">'Prop-Maker Build'!E16</f>
        <v>118.95</v>
      </c>
      <c r="F5" s="5" t="n">
        <f aca="false">'Prop-Maker Build'!E17</f>
        <v>83.95</v>
      </c>
    </row>
    <row r="7" customFormat="false" ht="15" hidden="false" customHeight="true" outlineLevel="0" collapsed="false">
      <c r="A7" s="6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8"/>
    <col collapsed="false" customWidth="true" hidden="false" outlineLevel="0" max="3" min="3" style="1" width="12"/>
    <col collapsed="false" customWidth="true" hidden="false" outlineLevel="0" max="5" min="4" style="1" width="10"/>
    <col collapsed="false" customWidth="true" hidden="false" outlineLevel="0" max="6" min="6" style="1" width="12"/>
    <col collapsed="false" customWidth="true" hidden="false" outlineLevel="0" max="7" min="7" style="1" width="52"/>
    <col collapsed="false" customWidth="true" hidden="false" outlineLevel="0" max="9" min="8" style="1" width="16"/>
    <col collapsed="false" customWidth="true" hidden="false" outlineLevel="0" max="10" min="10" style="1" width="10"/>
  </cols>
  <sheetData>
    <row r="1" customFormat="false" ht="17.25" hidden="false" customHeight="true" outlineLevel="0" collapsed="false">
      <c r="A1" s="2" t="s">
        <v>10</v>
      </c>
    </row>
    <row r="2" customFormat="false" ht="15" hidden="false" customHeight="true" outlineLevel="0" collapsed="false">
      <c r="A2" s="7" t="s">
        <v>11</v>
      </c>
    </row>
    <row r="4" customFormat="false" ht="26.25" hidden="false" customHeight="true" outlineLevel="0" collapsed="false">
      <c r="A4" s="8" t="s">
        <v>12</v>
      </c>
      <c r="B4" s="8" t="s">
        <v>13</v>
      </c>
      <c r="C4" s="8" t="s">
        <v>14</v>
      </c>
      <c r="D4" s="8" t="s">
        <v>15</v>
      </c>
      <c r="E4" s="8" t="s">
        <v>16</v>
      </c>
      <c r="F4" s="8" t="s">
        <v>17</v>
      </c>
      <c r="G4" s="8" t="s">
        <v>18</v>
      </c>
      <c r="H4" s="9" t="s">
        <v>19</v>
      </c>
      <c r="I4" s="9" t="s">
        <v>20</v>
      </c>
      <c r="J4" s="9" t="s">
        <v>21</v>
      </c>
    </row>
    <row r="5" customFormat="false" ht="15" hidden="false" customHeight="true" outlineLevel="0" collapsed="false">
      <c r="A5" s="10" t="s">
        <v>22</v>
      </c>
      <c r="B5" s="10" t="s">
        <v>23</v>
      </c>
      <c r="C5" s="11" t="s">
        <v>24</v>
      </c>
      <c r="D5" s="12" t="n">
        <v>8</v>
      </c>
      <c r="E5" s="12" t="n">
        <v>12</v>
      </c>
      <c r="F5" s="13"/>
      <c r="G5" s="14" t="s">
        <v>25</v>
      </c>
      <c r="H5" s="15" t="s">
        <v>26</v>
      </c>
      <c r="I5" s="10" t="s">
        <v>27</v>
      </c>
      <c r="J5" s="15" t="s">
        <v>28</v>
      </c>
    </row>
    <row r="6" customFormat="false" ht="15" hidden="false" customHeight="true" outlineLevel="0" collapsed="false">
      <c r="A6" s="10" t="s">
        <v>29</v>
      </c>
      <c r="B6" s="10" t="s">
        <v>23</v>
      </c>
      <c r="C6" s="11" t="s">
        <v>24</v>
      </c>
      <c r="D6" s="12" t="n">
        <v>4</v>
      </c>
      <c r="E6" s="12" t="n">
        <v>8</v>
      </c>
      <c r="F6" s="13"/>
      <c r="G6" s="14" t="s">
        <v>30</v>
      </c>
      <c r="H6" s="15" t="s">
        <v>26</v>
      </c>
      <c r="I6" s="10" t="s">
        <v>31</v>
      </c>
      <c r="J6" s="15" t="s">
        <v>28</v>
      </c>
    </row>
    <row r="7" customFormat="false" ht="15" hidden="false" customHeight="true" outlineLevel="0" collapsed="false">
      <c r="A7" s="10" t="s">
        <v>32</v>
      </c>
      <c r="B7" s="10" t="s">
        <v>23</v>
      </c>
      <c r="C7" s="11" t="s">
        <v>24</v>
      </c>
      <c r="D7" s="12" t="n">
        <v>10</v>
      </c>
      <c r="E7" s="12" t="n">
        <v>25</v>
      </c>
      <c r="F7" s="13"/>
      <c r="G7" s="14" t="s">
        <v>33</v>
      </c>
      <c r="H7" s="15" t="s">
        <v>26</v>
      </c>
      <c r="I7" s="10" t="s">
        <v>34</v>
      </c>
      <c r="J7" s="15" t="s">
        <v>28</v>
      </c>
    </row>
    <row r="8" customFormat="false" ht="15" hidden="false" customHeight="true" outlineLevel="0" collapsed="false">
      <c r="A8" s="10" t="s">
        <v>35</v>
      </c>
      <c r="B8" s="10" t="s">
        <v>23</v>
      </c>
      <c r="C8" s="11" t="s">
        <v>24</v>
      </c>
      <c r="D8" s="12" t="n">
        <v>5</v>
      </c>
      <c r="E8" s="12" t="n">
        <v>10</v>
      </c>
      <c r="F8" s="13"/>
      <c r="G8" s="14"/>
      <c r="H8" s="15" t="s">
        <v>26</v>
      </c>
      <c r="I8" s="10" t="s">
        <v>27</v>
      </c>
      <c r="J8" s="15" t="s">
        <v>28</v>
      </c>
    </row>
    <row r="9" customFormat="false" ht="15" hidden="false" customHeight="true" outlineLevel="0" collapsed="false">
      <c r="A9" s="10" t="s">
        <v>36</v>
      </c>
      <c r="B9" s="10" t="s">
        <v>23</v>
      </c>
      <c r="C9" s="11" t="s">
        <v>24</v>
      </c>
      <c r="D9" s="12" t="n">
        <v>5</v>
      </c>
      <c r="E9" s="12" t="n">
        <v>8</v>
      </c>
      <c r="F9" s="13"/>
      <c r="G9" s="14" t="s">
        <v>37</v>
      </c>
      <c r="H9" s="15" t="s">
        <v>26</v>
      </c>
      <c r="I9" s="10" t="s">
        <v>27</v>
      </c>
      <c r="J9" s="15" t="s">
        <v>28</v>
      </c>
    </row>
    <row r="10" customFormat="false" ht="15" hidden="false" customHeight="true" outlineLevel="0" collapsed="false">
      <c r="A10" s="10" t="s">
        <v>38</v>
      </c>
      <c r="B10" s="10" t="s">
        <v>23</v>
      </c>
      <c r="C10" s="11" t="s">
        <v>24</v>
      </c>
      <c r="D10" s="12" t="n">
        <v>5</v>
      </c>
      <c r="E10" s="12" t="n">
        <v>8</v>
      </c>
      <c r="F10" s="13"/>
      <c r="G10" s="14" t="s">
        <v>39</v>
      </c>
      <c r="H10" s="15" t="s">
        <v>26</v>
      </c>
      <c r="I10" s="10" t="s">
        <v>27</v>
      </c>
      <c r="J10" s="15" t="s">
        <v>28</v>
      </c>
    </row>
    <row r="11" customFormat="false" ht="15" hidden="false" customHeight="true" outlineLevel="0" collapsed="false">
      <c r="A11" s="10" t="s">
        <v>40</v>
      </c>
      <c r="B11" s="10" t="s">
        <v>23</v>
      </c>
      <c r="C11" s="11" t="s">
        <v>24</v>
      </c>
      <c r="D11" s="12" t="n">
        <v>8</v>
      </c>
      <c r="E11" s="12" t="n">
        <v>12</v>
      </c>
      <c r="F11" s="13"/>
      <c r="G11" s="14"/>
      <c r="H11" s="15" t="s">
        <v>26</v>
      </c>
      <c r="I11" s="10" t="s">
        <v>27</v>
      </c>
      <c r="J11" s="15" t="s">
        <v>28</v>
      </c>
    </row>
    <row r="12" customFormat="false" ht="15" hidden="false" customHeight="true" outlineLevel="0" collapsed="false">
      <c r="A12" s="10" t="s">
        <v>41</v>
      </c>
      <c r="B12" s="10" t="s">
        <v>42</v>
      </c>
      <c r="C12" s="11" t="s">
        <v>24</v>
      </c>
      <c r="D12" s="12" t="n">
        <v>5</v>
      </c>
      <c r="E12" s="12" t="n">
        <v>8</v>
      </c>
      <c r="F12" s="13"/>
      <c r="G12" s="14" t="s">
        <v>43</v>
      </c>
      <c r="H12" s="15" t="s">
        <v>26</v>
      </c>
      <c r="I12" s="10" t="s">
        <v>27</v>
      </c>
      <c r="J12" s="15" t="s">
        <v>28</v>
      </c>
    </row>
    <row r="13" customFormat="false" ht="15" hidden="false" customHeight="true" outlineLevel="0" collapsed="false">
      <c r="A13" s="10" t="s">
        <v>44</v>
      </c>
      <c r="B13" s="10" t="s">
        <v>45</v>
      </c>
      <c r="C13" s="11" t="s">
        <v>46</v>
      </c>
      <c r="D13" s="12" t="n">
        <v>15</v>
      </c>
      <c r="E13" s="12" t="n">
        <v>25</v>
      </c>
      <c r="F13" s="13"/>
      <c r="G13" s="14" t="s">
        <v>47</v>
      </c>
      <c r="H13" s="15" t="s">
        <v>26</v>
      </c>
      <c r="I13" s="10" t="s">
        <v>27</v>
      </c>
      <c r="J13" s="15" t="s">
        <v>28</v>
      </c>
    </row>
    <row r="14" customFormat="false" ht="15" hidden="false" customHeight="true" outlineLevel="0" collapsed="false">
      <c r="A14" s="10" t="s">
        <v>48</v>
      </c>
      <c r="B14" s="10" t="s">
        <v>45</v>
      </c>
      <c r="C14" s="11" t="s">
        <v>24</v>
      </c>
      <c r="D14" s="12" t="n">
        <v>8</v>
      </c>
      <c r="E14" s="12" t="n">
        <v>15</v>
      </c>
      <c r="F14" s="13"/>
      <c r="G14" s="14" t="s">
        <v>49</v>
      </c>
      <c r="H14" s="15" t="s">
        <v>26</v>
      </c>
      <c r="I14" s="10" t="s">
        <v>50</v>
      </c>
      <c r="J14" s="15" t="s">
        <v>28</v>
      </c>
    </row>
    <row r="16" customFormat="false" ht="15" hidden="false" customHeight="true" outlineLevel="0" collapsed="false">
      <c r="A16" s="16" t="s">
        <v>51</v>
      </c>
    </row>
    <row r="17" customFormat="false" ht="15" hidden="false" customHeight="true" outlineLevel="0" collapsed="false">
      <c r="A17" s="4" t="s">
        <v>52</v>
      </c>
      <c r="D17" s="17" t="n">
        <f aca="false">SUMIFS($D$5:$D$14,$B$5:$B$14,"Core")</f>
        <v>45</v>
      </c>
      <c r="E17" s="17" t="n">
        <f aca="false">SUMIFS($E$5:$E$14,$B$5:$B$14,"Core")</f>
        <v>83</v>
      </c>
    </row>
    <row r="18" customFormat="false" ht="15" hidden="false" customHeight="true" outlineLevel="0" collapsed="false">
      <c r="A18" s="4" t="s">
        <v>53</v>
      </c>
      <c r="D18" s="17" t="n">
        <f aca="false">SUMIFS($D$5:$D$14,$B$5:$B$14,"Core")+SUMIFS($D$5:$D$14,$B$5:$B$14,"Optional amp")</f>
        <v>50</v>
      </c>
      <c r="E18" s="17" t="n">
        <f aca="false">SUMIFS($E$5:$E$14,$B$5:$B$14,"Core")+SUMIFS($E$5:$E$14,$B$5:$B$14,"Optional amp")</f>
        <v>91</v>
      </c>
    </row>
    <row r="19" customFormat="false" ht="15" hidden="false" customHeight="true" outlineLevel="0" collapsed="false">
      <c r="A19" s="4" t="s">
        <v>54</v>
      </c>
      <c r="D19" s="17" t="n">
        <f aca="false">SUM(D5:D14)</f>
        <v>73</v>
      </c>
      <c r="E19" s="17" t="n">
        <f aca="false">SUM(E5:E14)</f>
        <v>131</v>
      </c>
    </row>
    <row r="20" customFormat="false" ht="15" hidden="false" customHeight="true" outlineLevel="0" collapsed="false">
      <c r="A20" s="4" t="s">
        <v>55</v>
      </c>
      <c r="D20" s="18" t="n">
        <f aca="false">SUMIFS($D$5:$D$14,$C$5:$C$14,"Y")</f>
        <v>58</v>
      </c>
      <c r="E20" s="18" t="n">
        <f aca="false">SUMIFS($E$5:$E$14,$C$5:$C$14,"Y")</f>
        <v>106</v>
      </c>
      <c r="F20" s="19" t="n">
        <f aca="false">SUMIFS($F$5:$F$14,$C$5:$C$14,"Y")</f>
        <v>0</v>
      </c>
    </row>
    <row r="22" customFormat="false" ht="15" hidden="false" customHeight="true" outlineLevel="0" collapsed="false">
      <c r="A22" s="20" t="s">
        <v>56</v>
      </c>
      <c r="C22" s="1" t="s">
        <v>46</v>
      </c>
      <c r="G22" s="21" t="s">
        <v>47</v>
      </c>
    </row>
    <row r="23" customFormat="false" ht="15" hidden="false" customHeight="true" outlineLevel="0" collapsed="false">
      <c r="A23" s="6" t="s">
        <v>57</v>
      </c>
    </row>
    <row r="24" customFormat="false" ht="15" hidden="false" customHeight="true" outlineLevel="0" collapsed="false">
      <c r="A24" s="6" t="s">
        <v>58</v>
      </c>
    </row>
  </sheetData>
  <hyperlinks>
    <hyperlink ref="H5" r:id="rId1" display="Search Amazon"/>
    <hyperlink ref="J5" r:id="rId2" display="Open"/>
    <hyperlink ref="H6" r:id="rId3" display="Search Amazon"/>
    <hyperlink ref="J6" r:id="rId4" display="Open"/>
    <hyperlink ref="H7" r:id="rId5" display="Search Amazon"/>
    <hyperlink ref="J7" r:id="rId6" display="Open"/>
    <hyperlink ref="H8" r:id="rId7" display="Search Amazon"/>
    <hyperlink ref="J8" r:id="rId8" display="Open"/>
    <hyperlink ref="H9" r:id="rId9" display="Search Amazon"/>
    <hyperlink ref="J9" r:id="rId10" display="Open"/>
    <hyperlink ref="H10" r:id="rId11" display="Search Amazon"/>
    <hyperlink ref="J10" r:id="rId12" display="Open"/>
    <hyperlink ref="H11" r:id="rId13" display="Search Amazon"/>
    <hyperlink ref="J11" r:id="rId14" display="Open"/>
    <hyperlink ref="H12" r:id="rId15" display="Search Amazon"/>
    <hyperlink ref="J12" r:id="rId16" display="Open"/>
    <hyperlink ref="H13" r:id="rId17" display="Search Amazon"/>
    <hyperlink ref="J13" r:id="rId18" display="Open"/>
    <hyperlink ref="H14" r:id="rId19" display="Search Amazon"/>
    <hyperlink ref="J14" r:id="rId20" display="Ope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8"/>
    <col collapsed="false" customWidth="true" hidden="false" outlineLevel="0" max="3" min="3" style="1" width="12"/>
    <col collapsed="false" customWidth="true" hidden="false" outlineLevel="0" max="5" min="4" style="1" width="10"/>
    <col collapsed="false" customWidth="true" hidden="false" outlineLevel="0" max="6" min="6" style="1" width="12"/>
    <col collapsed="false" customWidth="true" hidden="false" outlineLevel="0" max="7" min="7" style="1" width="56"/>
    <col collapsed="false" customWidth="true" hidden="false" outlineLevel="0" max="8" min="8" style="1" width="12"/>
    <col collapsed="false" customWidth="true" hidden="false" outlineLevel="0" max="9" min="9" style="1" width="14"/>
  </cols>
  <sheetData>
    <row r="1" customFormat="false" ht="17.25" hidden="false" customHeight="true" outlineLevel="0" collapsed="false">
      <c r="A1" s="2" t="s">
        <v>59</v>
      </c>
    </row>
    <row r="2" customFormat="false" ht="15" hidden="false" customHeight="true" outlineLevel="0" collapsed="false">
      <c r="A2" s="7" t="s">
        <v>11</v>
      </c>
    </row>
    <row r="4" customFormat="false" ht="26.25" hidden="false" customHeight="true" outlineLevel="0" collapsed="false">
      <c r="A4" s="22" t="s">
        <v>12</v>
      </c>
      <c r="B4" s="22" t="s">
        <v>13</v>
      </c>
      <c r="C4" s="22" t="s">
        <v>14</v>
      </c>
      <c r="D4" s="22" t="s">
        <v>15</v>
      </c>
      <c r="E4" s="22" t="s">
        <v>16</v>
      </c>
      <c r="F4" s="22" t="s">
        <v>17</v>
      </c>
      <c r="G4" s="22" t="s">
        <v>18</v>
      </c>
      <c r="H4" s="22" t="s">
        <v>19</v>
      </c>
      <c r="I4" s="22" t="s">
        <v>60</v>
      </c>
    </row>
    <row r="5" customFormat="false" ht="15" hidden="false" customHeight="true" outlineLevel="0" collapsed="false">
      <c r="A5" s="10" t="s">
        <v>61</v>
      </c>
      <c r="B5" s="10" t="s">
        <v>23</v>
      </c>
      <c r="C5" s="11" t="s">
        <v>24</v>
      </c>
      <c r="D5" s="23" t="n">
        <v>19.95</v>
      </c>
      <c r="E5" s="23" t="n">
        <v>19.95</v>
      </c>
      <c r="F5" s="24"/>
      <c r="G5" s="14" t="s">
        <v>62</v>
      </c>
      <c r="H5" s="25"/>
      <c r="I5" s="15" t="s">
        <v>63</v>
      </c>
    </row>
    <row r="6" customFormat="false" ht="15" hidden="false" customHeight="true" outlineLevel="0" collapsed="false">
      <c r="A6" s="10" t="s">
        <v>64</v>
      </c>
      <c r="B6" s="10" t="s">
        <v>23</v>
      </c>
      <c r="C6" s="11" t="s">
        <v>24</v>
      </c>
      <c r="D6" s="23" t="n">
        <v>10</v>
      </c>
      <c r="E6" s="23" t="n">
        <v>25</v>
      </c>
      <c r="F6" s="24"/>
      <c r="G6" s="14" t="s">
        <v>65</v>
      </c>
      <c r="H6" s="15" t="s">
        <v>66</v>
      </c>
      <c r="I6" s="15" t="s">
        <v>66</v>
      </c>
    </row>
    <row r="7" customFormat="false" ht="15" hidden="false" customHeight="true" outlineLevel="0" collapsed="false">
      <c r="A7" s="10" t="s">
        <v>67</v>
      </c>
      <c r="B7" s="10" t="s">
        <v>23</v>
      </c>
      <c r="C7" s="11" t="s">
        <v>24</v>
      </c>
      <c r="D7" s="23" t="n">
        <v>4</v>
      </c>
      <c r="E7" s="23" t="n">
        <v>8</v>
      </c>
      <c r="F7" s="24"/>
      <c r="G7" s="14" t="s">
        <v>68</v>
      </c>
      <c r="H7" s="15" t="s">
        <v>66</v>
      </c>
      <c r="I7" s="15" t="s">
        <v>66</v>
      </c>
    </row>
    <row r="8" customFormat="false" ht="15" hidden="false" customHeight="true" outlineLevel="0" collapsed="false">
      <c r="A8" s="10" t="s">
        <v>69</v>
      </c>
      <c r="B8" s="10" t="s">
        <v>23</v>
      </c>
      <c r="C8" s="11" t="s">
        <v>24</v>
      </c>
      <c r="D8" s="23" t="n">
        <v>5</v>
      </c>
      <c r="E8" s="23" t="n">
        <v>8</v>
      </c>
      <c r="F8" s="24"/>
      <c r="G8" s="14" t="s">
        <v>70</v>
      </c>
      <c r="H8" s="15" t="s">
        <v>66</v>
      </c>
      <c r="I8" s="15" t="s">
        <v>66</v>
      </c>
    </row>
    <row r="9" customFormat="false" ht="15" hidden="false" customHeight="true" outlineLevel="0" collapsed="false">
      <c r="A9" s="10" t="s">
        <v>71</v>
      </c>
      <c r="B9" s="10" t="s">
        <v>23</v>
      </c>
      <c r="C9" s="11" t="s">
        <v>24</v>
      </c>
      <c r="D9" s="23" t="n">
        <v>5</v>
      </c>
      <c r="E9" s="23" t="n">
        <v>8</v>
      </c>
      <c r="F9" s="24"/>
      <c r="G9" s="14" t="s">
        <v>72</v>
      </c>
      <c r="H9" s="15" t="s">
        <v>66</v>
      </c>
      <c r="I9" s="15" t="s">
        <v>66</v>
      </c>
    </row>
    <row r="10" customFormat="false" ht="15" hidden="false" customHeight="true" outlineLevel="0" collapsed="false">
      <c r="A10" s="10" t="s">
        <v>73</v>
      </c>
      <c r="B10" s="10" t="s">
        <v>45</v>
      </c>
      <c r="C10" s="11" t="s">
        <v>46</v>
      </c>
      <c r="D10" s="23" t="n">
        <v>5</v>
      </c>
      <c r="E10" s="23" t="n">
        <v>10</v>
      </c>
      <c r="F10" s="24"/>
      <c r="G10" s="14" t="s">
        <v>74</v>
      </c>
      <c r="H10" s="15" t="s">
        <v>66</v>
      </c>
      <c r="I10" s="15" t="s">
        <v>66</v>
      </c>
    </row>
    <row r="11" customFormat="false" ht="15" hidden="false" customHeight="true" outlineLevel="0" collapsed="false">
      <c r="A11" s="10" t="s">
        <v>75</v>
      </c>
      <c r="B11" s="10" t="s">
        <v>45</v>
      </c>
      <c r="C11" s="11" t="s">
        <v>46</v>
      </c>
      <c r="D11" s="23" t="n">
        <v>15</v>
      </c>
      <c r="E11" s="23" t="n">
        <v>25</v>
      </c>
      <c r="F11" s="24"/>
      <c r="G11" s="14" t="s">
        <v>47</v>
      </c>
      <c r="H11" s="15" t="s">
        <v>66</v>
      </c>
      <c r="I11" s="25"/>
    </row>
    <row r="12" customFormat="false" ht="15" hidden="false" customHeight="true" outlineLevel="0" collapsed="false">
      <c r="A12" s="10" t="s">
        <v>48</v>
      </c>
      <c r="B12" s="10" t="s">
        <v>45</v>
      </c>
      <c r="C12" s="11" t="s">
        <v>24</v>
      </c>
      <c r="D12" s="23" t="n">
        <v>8</v>
      </c>
      <c r="E12" s="23" t="n">
        <v>15</v>
      </c>
      <c r="F12" s="24"/>
      <c r="G12" s="14" t="s">
        <v>49</v>
      </c>
      <c r="H12" s="15" t="s">
        <v>66</v>
      </c>
      <c r="I12" s="25"/>
    </row>
    <row r="14" customFormat="false" ht="15" hidden="false" customHeight="true" outlineLevel="0" collapsed="false">
      <c r="A14" s="16" t="s">
        <v>51</v>
      </c>
    </row>
    <row r="15" customFormat="false" ht="15" hidden="false" customHeight="true" outlineLevel="0" collapsed="false">
      <c r="A15" s="4" t="s">
        <v>52</v>
      </c>
      <c r="D15" s="17" t="n">
        <f aca="false">SUMIFS($D$5:$D$12,$B$5:$B$12,"Core")</f>
        <v>43.95</v>
      </c>
      <c r="E15" s="17" t="n">
        <f aca="false">SUMIFS($E$5:$E$12,$B$5:$B$12,"Core")</f>
        <v>68.95</v>
      </c>
    </row>
    <row r="16" customFormat="false" ht="15" hidden="false" customHeight="true" outlineLevel="0" collapsed="false">
      <c r="A16" s="4" t="s">
        <v>54</v>
      </c>
      <c r="D16" s="17" t="n">
        <f aca="false">SUM(D5:D12)</f>
        <v>71.95</v>
      </c>
      <c r="E16" s="17" t="n">
        <f aca="false">SUM(E5:E12)</f>
        <v>118.95</v>
      </c>
    </row>
    <row r="17" customFormat="false" ht="15" hidden="false" customHeight="true" outlineLevel="0" collapsed="false">
      <c r="A17" s="4" t="s">
        <v>55</v>
      </c>
      <c r="D17" s="19" t="n">
        <f aca="false">SUMIFS($D$5:$D$12,$C$5:$C$12,"Y")</f>
        <v>51.95</v>
      </c>
      <c r="E17" s="19" t="n">
        <f aca="false">SUMIFS($E$5:$E$12,$C$5:$C$12,"Y")</f>
        <v>83.95</v>
      </c>
      <c r="F17" s="19" t="n">
        <f aca="false">SUMIFS($F$5:$F$12,$C$5:$C$12,"Y")</f>
        <v>0</v>
      </c>
    </row>
    <row r="19" customFormat="false" ht="15" hidden="false" customHeight="true" outlineLevel="0" collapsed="false">
      <c r="A19" s="6" t="s">
        <v>76</v>
      </c>
    </row>
    <row r="20" customFormat="false" ht="15" hidden="false" customHeight="true" outlineLevel="0" collapsed="false">
      <c r="A20" s="6" t="s">
        <v>77</v>
      </c>
    </row>
    <row r="21" customFormat="false" ht="15" hidden="false" customHeight="true" outlineLevel="0" collapsed="false">
      <c r="A21" s="6" t="s">
        <v>78</v>
      </c>
      <c r="C21" s="1" t="s">
        <v>46</v>
      </c>
      <c r="G21" s="21" t="s">
        <v>47</v>
      </c>
    </row>
    <row r="22" customFormat="false" ht="15" hidden="false" customHeight="true" outlineLevel="0" collapsed="false">
      <c r="A22" s="6" t="s">
        <v>79</v>
      </c>
    </row>
  </sheetData>
  <hyperlinks>
    <hyperlink ref="I5" r:id="rId1" display="Product page"/>
    <hyperlink ref="H6" r:id="rId2" display="Search"/>
    <hyperlink ref="I6" r:id="rId3" display="Search"/>
    <hyperlink ref="H7" r:id="rId4" display="Search"/>
    <hyperlink ref="I7" r:id="rId5" display="Search"/>
    <hyperlink ref="H8" r:id="rId6" display="Search"/>
    <hyperlink ref="I8" r:id="rId7" display="Search"/>
    <hyperlink ref="H9" r:id="rId8" display="Search"/>
    <hyperlink ref="I9" r:id="rId9" display="Search"/>
    <hyperlink ref="H10" r:id="rId10" display="Search"/>
    <hyperlink ref="I10" r:id="rId11" display="Search"/>
    <hyperlink ref="H11" r:id="rId12" display="Search"/>
    <hyperlink ref="H12" r:id="rId13" display="Search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2026-10-13T20:54:14Z</dcterms:created>
  <dc:creator>openpyxl</dc:creator>
  <dc:description/>
  <dc:language>en-US</dc:language>
  <cp:lastModifiedBy/>
  <dcterms:modified xsi:type="dcterms:W3CDTF">2026-10-13T21:45:25Z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